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gos únicos" sheetId="2" state="visible" r:id="rId4"/>
    <sheet name="Pagos anuales" sheetId="3" state="visible" r:id="rId5"/>
    <sheet name="Mensual" sheetId="4" state="visible" r:id="rId6"/>
    <sheet name="Supuestos" sheetId="5" state="visible" r:id="rId7"/>
    <sheet name="Decisiones" sheetId="6" state="visible" r:id="rId8"/>
    <sheet name="Fas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<sst xmlns="http://schemas.openxmlformats.org/spreadsheetml/2006/main" count="197" uniqueCount="178">
  <si>
    <t xml:space="preserve">Costos del primer año (USD)</t>
  </si>
  <si>
    <t xml:space="preserve">No incluye horas de desarrollo ni de mantención. Precios revisados en octubre de 2026.</t>
  </si>
  <si>
    <t xml:space="preserve">Escenario</t>
  </si>
  <si>
    <t xml:space="preserve">Pagos únicos</t>
  </si>
  <si>
    <t xml:space="preserve">Anuales obligatorios</t>
  </si>
  <si>
    <t xml:space="preserve">Servicios 12 meses</t>
  </si>
  <si>
    <t xml:space="preserve">Total año 1</t>
  </si>
  <si>
    <t xml:space="preserve">Desde el año 2 (por año)</t>
  </si>
  <si>
    <t xml:space="preserve">Validación (5 conductores)</t>
  </si>
  <si>
    <t xml:space="preserve">100 conductores (mínimo)</t>
  </si>
  <si>
    <t xml:space="preserve">100 conductores (máximo)</t>
  </si>
  <si>
    <t xml:space="preserve">Por conductor al mes (100 conductores, máximo)</t>
  </si>
  <si>
    <t xml:space="preserve">Si se eligiera Opus 5.5 para la IA, sumar unos USD 200 a 400 al mes con 100 conductores (decisión: Sonnet 5.5 + Haiku 5.5).</t>
  </si>
  <si>
    <t xml:space="preserve">Pagos únicos (USD)</t>
  </si>
  <si>
    <t xml:space="preserve">Qué</t>
  </si>
  <si>
    <t xml:space="preserve">Costo USD</t>
  </si>
  <si>
    <t xml:space="preserve">Cuánto dura</t>
  </si>
  <si>
    <t xml:space="preserve">Cuándo se paga</t>
  </si>
  <si>
    <t xml:space="preserve">Fuente</t>
  </si>
  <si>
    <t xml:space="preserve">Licencia plugin de GPS (Transistorsoft Starter)</t>
  </si>
  <si>
    <t xml:space="preserve">Para siempre (la clave no vence). Cubre Android e iOS.</t>
  </si>
  <si>
    <t xml:space="preserve">Al publicar en las tiendas</t>
  </si>
  <si>
    <t xml:space="preserve">docs.transistorsoft.com/purchase</t>
  </si>
  <si>
    <t xml:space="preserve">Cuenta Google Play</t>
  </si>
  <si>
    <t xml:space="preserve">Para siempre</t>
  </si>
  <si>
    <t xml:space="preserve">Al publicar en Android</t>
  </si>
  <si>
    <t xml:space="preserve">Precio público Google Play (oct-2026)</t>
  </si>
  <si>
    <t xml:space="preserve">Total pagos únicos</t>
  </si>
  <si>
    <t xml:space="preserve">Pagos anuales (USD por año)</t>
  </si>
  <si>
    <t xml:space="preserve">Costo USD/año</t>
  </si>
  <si>
    <t xml:space="preserve">¿Obligatorio?</t>
  </si>
  <si>
    <t xml:space="preserve">Duración</t>
  </si>
  <si>
    <t xml:space="preserve">Si no se renueva</t>
  </si>
  <si>
    <t xml:space="preserve">Cuenta Apple Developer</t>
  </si>
  <si>
    <t xml:space="preserve">Sí</t>
  </si>
  <si>
    <t xml:space="preserve">1 año</t>
  </si>
  <si>
    <t xml:space="preserve">La app se retira del App Store</t>
  </si>
  <si>
    <t xml:space="preserve">Precio público Apple (oct-2026)</t>
  </si>
  <si>
    <t xml:space="preserve">Dominio .cl (NIC Chile)</t>
  </si>
  <si>
    <t xml:space="preserve">Se pierde la dirección web</t>
  </si>
  <si>
    <t xml:space="preserve">Aproximado, confirmar en nic.cl</t>
  </si>
  <si>
    <t xml:space="preserve">Soporte y actualizaciones del plugin de GPS</t>
  </si>
  <si>
    <t xml:space="preserve">No</t>
  </si>
  <si>
    <t xml:space="preserve">La app sigue funcionando, sin versiones nuevas</t>
  </si>
  <si>
    <t xml:space="preserve">docs.transistorsoft.com/help/faq</t>
  </si>
  <si>
    <t xml:space="preserve">Total anual obligatorio</t>
  </si>
  <si>
    <t xml:space="preserve">Total anual con soporte del plugin</t>
  </si>
  <si>
    <t xml:space="preserve">Pagos mensuales (USD por mes)</t>
  </si>
  <si>
    <t xml:space="preserve">Servicio</t>
  </si>
  <si>
    <t xml:space="preserve">Para qué</t>
  </si>
  <si>
    <t xml:space="preserve">Contrato</t>
  </si>
  <si>
    <t xml:space="preserve">Supabase Pro</t>
  </si>
  <si>
    <t xml:space="preserve">Base de datos, cuentas, tiempo real, fotos</t>
  </si>
  <si>
    <t xml:space="preserve">Mes a mes</t>
  </si>
  <si>
    <t xml:space="preserve">supabase.com/pricing</t>
  </si>
  <si>
    <t xml:space="preserve">VPS (servidor propio)</t>
  </si>
  <si>
    <t xml:space="preserve">Rutas, hora estimada y direcciones</t>
  </si>
  <si>
    <t xml:space="preserve">Proveedor VPS, a definir en Etapa D</t>
  </si>
  <si>
    <t xml:space="preserve">Claude Sonnet 5.5 + Haiku 5.5</t>
  </si>
  <si>
    <t xml:space="preserve">Asistente de IA</t>
  </si>
  <si>
    <t xml:space="preserve">Por uso</t>
  </si>
  <si>
    <t xml:space="preserve">Precios Anthropic: Sonnet $2/$10, Haiku $0,10/$0,50 por millón de tokens</t>
  </si>
  <si>
    <t xml:space="preserve">Resend</t>
  </si>
  <si>
    <t xml:space="preserve">Correos con códigos de acceso</t>
  </si>
  <si>
    <t xml:space="preserve">resend.com/pricing</t>
  </si>
  <si>
    <t xml:space="preserve">Stream</t>
  </si>
  <si>
    <t xml:space="preserve">Llamadas dentro de la app</t>
  </si>
  <si>
    <t xml:space="preserve">getstream.io/video/pricing ($0,30 / 1.000 min-participante)</t>
  </si>
  <si>
    <t xml:space="preserve">Google Geocoding</t>
  </si>
  <si>
    <t xml:space="preserve">Direcciones difíciles (respaldo)</t>
  </si>
  <si>
    <t xml:space="preserve">Google Maps Platform</t>
  </si>
  <si>
    <t xml:space="preserve">Cloudflare</t>
  </si>
  <si>
    <t xml:space="preserve">Web del panel y archivo de mapas</t>
  </si>
  <si>
    <t xml:space="preserve">cloudflare.com</t>
  </si>
  <si>
    <t xml:space="preserve">Sentry</t>
  </si>
  <si>
    <t xml:space="preserve">Aviso de errores</t>
  </si>
  <si>
    <t xml:space="preserve">sentry.io/pricing</t>
  </si>
  <si>
    <t xml:space="preserve">Expo EAS</t>
  </si>
  <si>
    <t xml:space="preserve">Compilar la app</t>
  </si>
  <si>
    <t xml:space="preserve">expo.dev/pricing</t>
  </si>
  <si>
    <t xml:space="preserve">Total mensual</t>
  </si>
  <si>
    <t xml:space="preserve">Azul = valor ingresado a mano (puedes cambiarlo). Negro = fórmula. Todos los servicios son sin contrato y se pueden cancelar.</t>
  </si>
  <si>
    <t xml:space="preserve">Supuestos de volumen (100 conductores)</t>
  </si>
  <si>
    <t xml:space="preserve">Dato</t>
  </si>
  <si>
    <t xml:space="preserve">Valor</t>
  </si>
  <si>
    <t xml:space="preserve">Nota</t>
  </si>
  <si>
    <t xml:space="preserve">Conductores</t>
  </si>
  <si>
    <t xml:space="preserve">Escenario de escala</t>
  </si>
  <si>
    <t xml:space="preserve">Entregas por conductor al día</t>
  </si>
  <si>
    <t xml:space="preserve">Supuesto</t>
  </si>
  <si>
    <t xml:space="preserve">Días hábiles al mes</t>
  </si>
  <si>
    <t xml:space="preserve">Entregas al mes</t>
  </si>
  <si>
    <t xml:space="preserve">Fórmula</t>
  </si>
  <si>
    <t xml:space="preserve">Envío de ubicación (segundos)</t>
  </si>
  <si>
    <t xml:space="preserve">Cada 15 s o 50 m</t>
  </si>
  <si>
    <t xml:space="preserve">Fotos por entrega</t>
  </si>
  <si>
    <t xml:space="preserve">~250 KB cada una</t>
  </si>
  <si>
    <t xml:space="preserve">Entregas con llamada</t>
  </si>
  <si>
    <t xml:space="preserve">2 minutos promedio</t>
  </si>
  <si>
    <t xml:space="preserve">Retención del recorrido GPS (días)</t>
  </si>
  <si>
    <t xml:space="preserve">Política de privacidad</t>
  </si>
  <si>
    <t xml:space="preserve">Decisiones tomadas</t>
  </si>
  <si>
    <t xml:space="preserve">Tema</t>
  </si>
  <si>
    <t xml:space="preserve">Decisión</t>
  </si>
  <si>
    <t xml:space="preserve">Plataformas</t>
  </si>
  <si>
    <t xml:space="preserve">Android e iOS (una sola app con React Native/Expo) + panel web del administrador + web con código para el receptor</t>
  </si>
  <si>
    <t xml:space="preserve">Ubicación en segundo plano</t>
  </si>
  <si>
    <t xml:space="preserve">Plugin Transistorsoft, licencia Starter USD 399 pago único</t>
  </si>
  <si>
    <t xml:space="preserve">Claude Sonnet 5.5 (órdenes) + Haiku 5.5 (clasificar y redactar). Modos 'propone' o 'responde solo', a elección del administrador</t>
  </si>
  <si>
    <t xml:space="preserve">Llamadas</t>
  </si>
  <si>
    <t xml:space="preserve">Dentro de la app (VoIP) con Stream, sin mostrar números</t>
  </si>
  <si>
    <t xml:space="preserve">Inicio de sesión</t>
  </si>
  <si>
    <t xml:space="preserve">Código por correo electrónico (sin SMS, sin contraseña)</t>
  </si>
  <si>
    <t xml:space="preserve">Datos del conductor</t>
  </si>
  <si>
    <t xml:space="preserve">Nombre, foto de licencia, documentos del camión (opcional), correo, teléfono</t>
  </si>
  <si>
    <t xml:space="preserve">Datos del administrador</t>
  </si>
  <si>
    <t xml:space="preserve">Empresa, nombre, teléfono, foto (opcional); varios administradores por empresa</t>
  </si>
  <si>
    <t xml:space="preserve">Datos del receptor</t>
  </si>
  <si>
    <t xml:space="preserve">Nombre, teléfono y correo si instala la app; o código web sin cuenta</t>
  </si>
  <si>
    <t xml:space="preserve">Código del receptor</t>
  </si>
  <si>
    <t xml:space="preserve">Lo genera el asistente; el administrador lo envía por privado</t>
  </si>
  <si>
    <t xml:space="preserve">Cobros</t>
  </si>
  <si>
    <t xml:space="preserve">Fuera de la app; el receptor informa con foto de transferencia o efectivo</t>
  </si>
  <si>
    <t xml:space="preserve">Carga de entregas</t>
  </si>
  <si>
    <t xml:space="preserve">Una por una o por archivo Excel/CSV con vista previa</t>
  </si>
  <si>
    <t xml:space="preserve">Independientes; pueden trabajar para varias empresas</t>
  </si>
  <si>
    <t xml:space="preserve">Mapas y rutas</t>
  </si>
  <si>
    <t xml:space="preserve">Propios sobre OpenStreetMap (MapLibre, OSRM, VROOM); botón para abrir Waze o Google Maps</t>
  </si>
  <si>
    <t xml:space="preserve">Base de datos</t>
  </si>
  <si>
    <t xml:space="preserve">Supabase Pro, región São Paulo</t>
  </si>
  <si>
    <t xml:space="preserve">WhatsApp</t>
  </si>
  <si>
    <t xml:space="preserve">No se usa por ahora</t>
  </si>
  <si>
    <t xml:space="preserve">Abogado</t>
  </si>
  <si>
    <t xml:space="preserve">No por ahora; textos legales generados como borrador</t>
  </si>
  <si>
    <t xml:space="preserve">Presupuesto</t>
  </si>
  <si>
    <t xml:space="preserve">Sin tope fijo; crece en proporción a los usuarios</t>
  </si>
  <si>
    <t xml:space="preserve">Pendiente</t>
  </si>
  <si>
    <t xml:space="preserve">Nombre de la app y datos de la empresa para los textos legales</t>
  </si>
  <si>
    <t xml:space="preserve">Fases de construcción</t>
  </si>
  <si>
    <t xml:space="preserve">Fase</t>
  </si>
  <si>
    <t xml:space="preserve">Qué incluye</t>
  </si>
  <si>
    <t xml:space="preserve">Listo cuando…</t>
  </si>
  <si>
    <t xml:space="preserve">0. Cimientos</t>
  </si>
  <si>
    <t xml:space="preserve">Repositorio, base de datos de desarrollo, pruebas automáticas, colores y tipografías</t>
  </si>
  <si>
    <t xml:space="preserve">La app abre en tu teléfono y la web en tu computador</t>
  </si>
  <si>
    <t xml:space="preserve">1. Cuentas y perfiles</t>
  </si>
  <si>
    <t xml:space="preserve">Registro de los 3 perfiles, código por correo, varios administradores, invitar conductores, términos</t>
  </si>
  <si>
    <t xml:space="preserve">Cada perfil entra con su código y solo ve lo suyo</t>
  </si>
  <si>
    <t xml:space="preserve">2. Entregas y asignación</t>
  </si>
  <si>
    <t xml:space="preserve">Crear entrega, carga por Excel con vista previa, direcciones en el mapa, sectores</t>
  </si>
  <si>
    <t xml:space="preserve">Subes un Excel de 50 filas y ves listas, por revisar y con error</t>
  </si>
  <si>
    <t xml:space="preserve">3. Conductor: el día</t>
  </si>
  <si>
    <t xml:space="preserve">Ruta del día, iniciar/terminar, llegué, foto, cobro, Waze/Maps</t>
  </si>
  <si>
    <t xml:space="preserve">Con dos teléfonos haces el día de Matías y el administrador ve cada cambio</t>
  </si>
  <si>
    <t xml:space="preserve">4. Ubicación en tiempo real</t>
  </si>
  <si>
    <t xml:space="preserve">Plugin de GPS, consentimiento, mapa en vivo</t>
  </si>
  <si>
    <t xml:space="preserve">1 hora de ruta real con Waze abierto sin cortes en el mapa</t>
  </si>
  <si>
    <t xml:space="preserve">5. Receptor</t>
  </si>
  <si>
    <t xml:space="preserve">Web con código, app con cuenta, seguimiento, pago, comprobante, notificaciones</t>
  </si>
  <si>
    <t xml:space="preserve">Sofía ve solo su paquete; el de Pedro aparece solo en su app</t>
  </si>
  <si>
    <t xml:space="preserve">6. Mensajería</t>
  </si>
  <si>
    <t xml:space="preserve">Chats, tablero, mensajes programados</t>
  </si>
  <si>
    <t xml:space="preserve">El aviso de las 08:20 sale a esa hora</t>
  </si>
  <si>
    <t xml:space="preserve">7. Asistente de IA</t>
  </si>
  <si>
    <t xml:space="preserve">Herramientas, dos modos, auditoría, límites</t>
  </si>
  <si>
    <t xml:space="preserve">'Avísale a Sofía…' funciona y queda registrado</t>
  </si>
  <si>
    <t xml:space="preserve">8. Hora estimada y retraso</t>
  </si>
  <si>
    <t xml:space="preserve">Rutas propias, cerca/llegó, alerta de retraso, orden de entregas</t>
  </si>
  <si>
    <t xml:space="preserve">El simulador del día de Matías pasa completo</t>
  </si>
  <si>
    <t xml:space="preserve">9. Llamadas</t>
  </si>
  <si>
    <t xml:space="preserve">App a app y web, timbre con app cerrada, sin números</t>
  </si>
  <si>
    <t xml:space="preserve">Suena como llamada normal con la app cerrada</t>
  </si>
  <si>
    <t xml:space="preserve">10. Sin señal</t>
  </si>
  <si>
    <t xml:space="preserve">Cola de fotos y eventos, reintentos, sin duplicados</t>
  </si>
  <si>
    <t xml:space="preserve">En modo avión entregas y al volver la señal se sube una vez</t>
  </si>
  <si>
    <t xml:space="preserve">11. Legal y cierre</t>
  </si>
  <si>
    <t xml:space="preserve">Descargar/borrar datos, retención automática, respaldos</t>
  </si>
  <si>
    <t xml:space="preserve">Borras tu cuenta de prueba y desaparece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</si>
</sst>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\$#,##0.00"/>
    <numFmt numFmtId="167" formatCode="#,##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B5C"/>
      <name val="Arial"/>
      <family val="0"/>
      <charset val="1"/>
    </font>
    <font>
      <i val="true"/>
      <sz val="9"/>
      <color rgb="FF5666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3B5C"/>
        <bgColor rgb="FF333333"/>
      </patternFill>
    </fill>
    <fill>
      <patternFill patternType="solid">
        <fgColor rgb="FFFCEBC0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D8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C0"/>
      <rgbColor rgb="FFCCFFFF"/>
      <rgbColor rgb="FF660066"/>
      <rgbColor rgb="FFFF8080"/>
      <rgbColor rgb="FF0066CC"/>
      <rgbColor rgb="FFCFD8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676"/>
      <rgbColor rgb="FF969696"/>
      <rgbColor rgb="FF14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'Pagos únicos'!B6</f>
        <v>424</v>
      </c>
      <c r="C5" s="5" t="n">
        <f aca="false">'Pagos anuales'!B7</f>
        <v>111</v>
      </c>
      <c r="D5" s="5" t="n">
        <f aca="false">12*Mensual!C13</f>
        <v>516</v>
      </c>
      <c r="E5" s="6" t="n">
        <f aca="false">B5+C5+D5</f>
        <v>1051</v>
      </c>
      <c r="F5" s="7" t="n">
        <f aca="false">C5+D5</f>
        <v>627</v>
      </c>
    </row>
    <row r="6" customFormat="false" ht="15" hidden="false" customHeight="false" outlineLevel="0" collapsed="false">
      <c r="A6" s="4" t="s">
        <v>9</v>
      </c>
      <c r="B6" s="5" t="n">
        <f aca="false">'Pagos únicos'!B6</f>
        <v>424</v>
      </c>
      <c r="C6" s="5" t="n">
        <f aca="false">'Pagos anuales'!B7</f>
        <v>111</v>
      </c>
      <c r="D6" s="5" t="n">
        <f aca="false">12*Mensual!D13</f>
        <v>2700</v>
      </c>
      <c r="E6" s="6" t="n">
        <f aca="false">B6+C6+D6</f>
        <v>3235</v>
      </c>
      <c r="F6" s="7" t="n">
        <f aca="false">C6+D6</f>
        <v>2811</v>
      </c>
    </row>
    <row r="7" customFormat="false" ht="15" hidden="false" customHeight="false" outlineLevel="0" collapsed="false">
      <c r="A7" s="4" t="s">
        <v>10</v>
      </c>
      <c r="B7" s="5" t="n">
        <f aca="false">'Pagos únicos'!B6</f>
        <v>424</v>
      </c>
      <c r="C7" s="5" t="n">
        <f aca="false">'Pagos anuales'!B7</f>
        <v>111</v>
      </c>
      <c r="D7" s="5" t="n">
        <f aca="false">12*Mensual!E13</f>
        <v>4656</v>
      </c>
      <c r="E7" s="6" t="n">
        <f aca="false">B7+C7+D7</f>
        <v>5191</v>
      </c>
      <c r="F7" s="7" t="n">
        <f aca="false">C7+D7</f>
        <v>4767</v>
      </c>
    </row>
    <row r="9" customFormat="false" ht="15" hidden="false" customHeight="false" outlineLevel="0" collapsed="false">
      <c r="A9" s="4" t="s">
        <v>11</v>
      </c>
      <c r="E9" s="8" t="n">
        <f aca="false">Mensual!E13/Supuestos!B4</f>
        <v>3.88</v>
      </c>
    </row>
    <row r="11" customFormat="false" ht="15" hidden="false" customHeight="false" outlineLevel="0" collapsed="false">
      <c r="A11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customFormat="false" ht="26.85" hidden="false" customHeight="false" outlineLevel="0" collapsed="false">
      <c r="A4" s="10" t="s">
        <v>19</v>
      </c>
      <c r="B4" s="11" t="n">
        <v>399</v>
      </c>
      <c r="C4" s="10" t="s">
        <v>20</v>
      </c>
      <c r="D4" s="10" t="s">
        <v>21</v>
      </c>
      <c r="E4" s="10" t="s">
        <v>22</v>
      </c>
    </row>
    <row r="5" customFormat="false" ht="15" hidden="false" customHeight="false" outlineLevel="0" collapsed="false">
      <c r="A5" s="10" t="s">
        <v>23</v>
      </c>
      <c r="B5" s="11" t="n">
        <v>25</v>
      </c>
      <c r="C5" s="10" t="s">
        <v>24</v>
      </c>
      <c r="D5" s="10" t="s">
        <v>25</v>
      </c>
      <c r="E5" s="10" t="s">
        <v>26</v>
      </c>
    </row>
    <row r="6" customFormat="false" ht="15" hidden="false" customHeight="false" outlineLevel="0" collapsed="false">
      <c r="A6" s="12" t="s">
        <v>27</v>
      </c>
      <c r="B6" s="6" t="n">
        <f aca="false">SUM(B4:B5)</f>
        <v>424</v>
      </c>
      <c r="C6" s="13"/>
      <c r="D6" s="13"/>
      <c r="E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28</v>
      </c>
    </row>
    <row r="3" customFormat="false" ht="26.85" hidden="false" customHeight="false" outlineLevel="0" collapsed="false">
      <c r="A3" s="9" t="s">
        <v>14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18</v>
      </c>
    </row>
    <row r="4" customFormat="false" ht="15" hidden="false" customHeight="false" outlineLevel="0" collapsed="false">
      <c r="A4" s="10" t="s">
        <v>33</v>
      </c>
      <c r="B4" s="11" t="n">
        <v>99</v>
      </c>
      <c r="C4" s="10" t="s">
        <v>34</v>
      </c>
      <c r="D4" s="10" t="s">
        <v>35</v>
      </c>
      <c r="E4" s="10" t="s">
        <v>36</v>
      </c>
      <c r="F4" s="10" t="s">
        <v>37</v>
      </c>
    </row>
    <row r="5" customFormat="false" ht="15" hidden="false" customHeight="false" outlineLevel="0" collapsed="false">
      <c r="A5" s="10" t="s">
        <v>38</v>
      </c>
      <c r="B5" s="11" t="n">
        <v>12</v>
      </c>
      <c r="C5" s="10" t="s">
        <v>34</v>
      </c>
      <c r="D5" s="10" t="s">
        <v>35</v>
      </c>
      <c r="E5" s="10" t="s">
        <v>39</v>
      </c>
      <c r="F5" s="10" t="s">
        <v>40</v>
      </c>
    </row>
    <row r="6" customFormat="false" ht="26.85" hidden="false" customHeight="false" outlineLevel="0" collapsed="false">
      <c r="A6" s="10" t="s">
        <v>41</v>
      </c>
      <c r="B6" s="11" t="n">
        <v>199</v>
      </c>
      <c r="C6" s="10" t="s">
        <v>42</v>
      </c>
      <c r="D6" s="10" t="s">
        <v>35</v>
      </c>
      <c r="E6" s="10" t="s">
        <v>43</v>
      </c>
      <c r="F6" s="10" t="s">
        <v>44</v>
      </c>
    </row>
    <row r="7" customFormat="false" ht="15" hidden="false" customHeight="false" outlineLevel="0" collapsed="false">
      <c r="A7" s="12" t="s">
        <v>45</v>
      </c>
      <c r="B7" s="6" t="n">
        <f aca="false">SUMIFS(B4:B6,C4:C6,"Sí")</f>
        <v>111</v>
      </c>
      <c r="C7" s="13"/>
      <c r="D7" s="13"/>
      <c r="E7" s="13"/>
      <c r="F7" s="13"/>
    </row>
    <row r="8" customFormat="false" ht="15" hidden="false" customHeight="false" outlineLevel="0" collapsed="false">
      <c r="A8" s="12" t="s">
        <v>46</v>
      </c>
      <c r="B8" s="6" t="n">
        <f aca="false">SUM(B4:B6)</f>
        <v>310</v>
      </c>
      <c r="C8" s="13"/>
      <c r="D8" s="13"/>
      <c r="E8" s="13"/>
      <c r="F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47</v>
      </c>
    </row>
    <row r="3" customFormat="false" ht="39.55" hidden="false" customHeight="false" outlineLevel="0" collapsed="false">
      <c r="A3" s="9" t="s">
        <v>48</v>
      </c>
      <c r="B3" s="9" t="s">
        <v>49</v>
      </c>
      <c r="C3" s="9" t="s">
        <v>8</v>
      </c>
      <c r="D3" s="9" t="s">
        <v>9</v>
      </c>
      <c r="E3" s="9" t="s">
        <v>10</v>
      </c>
      <c r="F3" s="9" t="s">
        <v>50</v>
      </c>
      <c r="G3" s="9" t="s">
        <v>18</v>
      </c>
    </row>
    <row r="4" customFormat="false" ht="26.85" hidden="false" customHeight="false" outlineLevel="0" collapsed="false">
      <c r="A4" s="10" t="s">
        <v>51</v>
      </c>
      <c r="B4" s="10" t="s">
        <v>52</v>
      </c>
      <c r="C4" s="11" t="n">
        <v>25</v>
      </c>
      <c r="D4" s="11" t="n">
        <v>90</v>
      </c>
      <c r="E4" s="11" t="n">
        <v>110</v>
      </c>
      <c r="F4" s="10" t="s">
        <v>53</v>
      </c>
      <c r="G4" s="10" t="s">
        <v>54</v>
      </c>
    </row>
    <row r="5" customFormat="false" ht="15" hidden="false" customHeight="false" outlineLevel="0" collapsed="false">
      <c r="A5" s="10" t="s">
        <v>55</v>
      </c>
      <c r="B5" s="10" t="s">
        <v>56</v>
      </c>
      <c r="C5" s="11" t="n">
        <v>15</v>
      </c>
      <c r="D5" s="11" t="n">
        <v>30</v>
      </c>
      <c r="E5" s="11" t="n">
        <v>30</v>
      </c>
      <c r="F5" s="10" t="s">
        <v>53</v>
      </c>
      <c r="G5" s="10" t="s">
        <v>57</v>
      </c>
    </row>
    <row r="6" customFormat="false" ht="26.85" hidden="false" customHeight="false" outlineLevel="0" collapsed="false">
      <c r="A6" s="10" t="s">
        <v>58</v>
      </c>
      <c r="B6" s="10" t="s">
        <v>59</v>
      </c>
      <c r="C6" s="11" t="n">
        <v>3</v>
      </c>
      <c r="D6" s="11" t="n">
        <v>80</v>
      </c>
      <c r="E6" s="11" t="n">
        <v>120</v>
      </c>
      <c r="F6" s="10" t="s">
        <v>60</v>
      </c>
      <c r="G6" s="10" t="s">
        <v>61</v>
      </c>
    </row>
    <row r="7" customFormat="false" ht="15" hidden="false" customHeight="false" outlineLevel="0" collapsed="false">
      <c r="A7" s="10" t="s">
        <v>62</v>
      </c>
      <c r="B7" s="10" t="s">
        <v>63</v>
      </c>
      <c r="C7" s="11" t="n">
        <v>0</v>
      </c>
      <c r="D7" s="11" t="n">
        <v>20</v>
      </c>
      <c r="E7" s="11" t="n">
        <v>20</v>
      </c>
      <c r="F7" s="10" t="s">
        <v>53</v>
      </c>
      <c r="G7" s="10" t="s">
        <v>64</v>
      </c>
    </row>
    <row r="8" customFormat="false" ht="26.85" hidden="false" customHeight="false" outlineLevel="0" collapsed="false">
      <c r="A8" s="10" t="s">
        <v>65</v>
      </c>
      <c r="B8" s="10" t="s">
        <v>66</v>
      </c>
      <c r="C8" s="11" t="n">
        <v>0</v>
      </c>
      <c r="D8" s="11" t="n">
        <v>0</v>
      </c>
      <c r="E8" s="11" t="n">
        <v>18</v>
      </c>
      <c r="F8" s="10" t="s">
        <v>60</v>
      </c>
      <c r="G8" s="10" t="s">
        <v>67</v>
      </c>
    </row>
    <row r="9" customFormat="false" ht="15" hidden="false" customHeight="false" outlineLevel="0" collapsed="false">
      <c r="A9" s="10" t="s">
        <v>68</v>
      </c>
      <c r="B9" s="10" t="s">
        <v>69</v>
      </c>
      <c r="C9" s="11" t="n">
        <v>0</v>
      </c>
      <c r="D9" s="11" t="n">
        <v>0</v>
      </c>
      <c r="E9" s="11" t="n">
        <v>20</v>
      </c>
      <c r="F9" s="10" t="s">
        <v>60</v>
      </c>
      <c r="G9" s="10" t="s">
        <v>70</v>
      </c>
    </row>
    <row r="10" customFormat="false" ht="15" hidden="false" customHeight="false" outlineLevel="0" collapsed="false">
      <c r="A10" s="10" t="s">
        <v>71</v>
      </c>
      <c r="B10" s="10" t="s">
        <v>72</v>
      </c>
      <c r="C10" s="11" t="n">
        <v>0</v>
      </c>
      <c r="D10" s="11" t="n">
        <v>5</v>
      </c>
      <c r="E10" s="11" t="n">
        <v>25</v>
      </c>
      <c r="F10" s="10" t="s">
        <v>53</v>
      </c>
      <c r="G10" s="10" t="s">
        <v>73</v>
      </c>
    </row>
    <row r="11" customFormat="false" ht="15" hidden="false" customHeight="false" outlineLevel="0" collapsed="false">
      <c r="A11" s="10" t="s">
        <v>74</v>
      </c>
      <c r="B11" s="10" t="s">
        <v>75</v>
      </c>
      <c r="C11" s="11" t="n">
        <v>0</v>
      </c>
      <c r="D11" s="11" t="n">
        <v>0</v>
      </c>
      <c r="E11" s="11" t="n">
        <v>26</v>
      </c>
      <c r="F11" s="10" t="s">
        <v>53</v>
      </c>
      <c r="G11" s="10" t="s">
        <v>76</v>
      </c>
    </row>
    <row r="12" customFormat="false" ht="15" hidden="false" customHeight="false" outlineLevel="0" collapsed="false">
      <c r="A12" s="10" t="s">
        <v>77</v>
      </c>
      <c r="B12" s="10" t="s">
        <v>78</v>
      </c>
      <c r="C12" s="11" t="n">
        <v>0</v>
      </c>
      <c r="D12" s="11" t="n">
        <v>0</v>
      </c>
      <c r="E12" s="11" t="n">
        <v>19</v>
      </c>
      <c r="F12" s="10" t="s">
        <v>53</v>
      </c>
      <c r="G12" s="10" t="s">
        <v>79</v>
      </c>
    </row>
    <row r="13" customFormat="false" ht="15" hidden="false" customHeight="false" outlineLevel="0" collapsed="false">
      <c r="A13" s="12" t="s">
        <v>80</v>
      </c>
      <c r="B13" s="13"/>
      <c r="C13" s="6" t="n">
        <f aca="false">SUM(C4:C12)</f>
        <v>43</v>
      </c>
      <c r="D13" s="6" t="n">
        <f aca="false">SUM(D4:D12)</f>
        <v>225</v>
      </c>
      <c r="E13" s="6" t="n">
        <f aca="false">SUM(E4:E12)</f>
        <v>388</v>
      </c>
      <c r="F13" s="13"/>
      <c r="G13" s="13"/>
    </row>
    <row r="15" customFormat="false" ht="15" hidden="false" customHeight="false" outlineLevel="0" collapsed="false">
      <c r="A15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9" t="s">
        <v>83</v>
      </c>
      <c r="B3" s="9" t="s">
        <v>84</v>
      </c>
      <c r="C3" s="9" t="s">
        <v>85</v>
      </c>
    </row>
    <row r="4" customFormat="false" ht="15" hidden="false" customHeight="false" outlineLevel="0" collapsed="false">
      <c r="A4" s="10" t="s">
        <v>86</v>
      </c>
      <c r="B4" s="14" t="n">
        <v>100</v>
      </c>
      <c r="C4" s="10" t="s">
        <v>87</v>
      </c>
    </row>
    <row r="5" customFormat="false" ht="15" hidden="false" customHeight="false" outlineLevel="0" collapsed="false">
      <c r="A5" s="10" t="s">
        <v>88</v>
      </c>
      <c r="B5" s="14" t="n">
        <v>20</v>
      </c>
      <c r="C5" s="10" t="s">
        <v>89</v>
      </c>
    </row>
    <row r="6" customFormat="false" ht="15" hidden="false" customHeight="false" outlineLevel="0" collapsed="false">
      <c r="A6" s="10" t="s">
        <v>90</v>
      </c>
      <c r="B6" s="14" t="n">
        <v>24</v>
      </c>
      <c r="C6" s="10" t="s">
        <v>89</v>
      </c>
    </row>
    <row r="7" customFormat="false" ht="15" hidden="false" customHeight="false" outlineLevel="0" collapsed="false">
      <c r="A7" s="10" t="s">
        <v>91</v>
      </c>
      <c r="B7" s="15" t="n">
        <f aca="false">B4*B5*B6</f>
        <v>48000</v>
      </c>
      <c r="C7" s="10" t="s">
        <v>92</v>
      </c>
    </row>
    <row r="8" customFormat="false" ht="15" hidden="false" customHeight="false" outlineLevel="0" collapsed="false">
      <c r="A8" s="10" t="s">
        <v>93</v>
      </c>
      <c r="B8" s="14" t="n">
        <v>15</v>
      </c>
      <c r="C8" s="10" t="s">
        <v>94</v>
      </c>
    </row>
    <row r="9" customFormat="false" ht="15" hidden="false" customHeight="false" outlineLevel="0" collapsed="false">
      <c r="A9" s="10" t="s">
        <v>95</v>
      </c>
      <c r="B9" s="14" t="n">
        <v>3</v>
      </c>
      <c r="C9" s="10" t="s">
        <v>96</v>
      </c>
    </row>
    <row r="10" customFormat="false" ht="15" hidden="false" customHeight="false" outlineLevel="0" collapsed="false">
      <c r="A10" s="10" t="s">
        <v>97</v>
      </c>
      <c r="B10" s="16" t="n">
        <v>0.3</v>
      </c>
      <c r="C10" s="10" t="s">
        <v>98</v>
      </c>
    </row>
    <row r="11" customFormat="false" ht="15" hidden="false" customHeight="false" outlineLevel="0" collapsed="false">
      <c r="A11" s="10" t="s">
        <v>99</v>
      </c>
      <c r="B11" s="14" t="n">
        <v>30</v>
      </c>
      <c r="C11" s="1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9" t="s">
        <v>102</v>
      </c>
      <c r="B3" s="9" t="s">
        <v>103</v>
      </c>
    </row>
    <row r="4" customFormat="false" ht="26.85" hidden="false" customHeight="false" outlineLevel="0" collapsed="false">
      <c r="A4" s="10" t="s">
        <v>104</v>
      </c>
      <c r="B4" s="10" t="s">
        <v>105</v>
      </c>
    </row>
    <row r="5" customFormat="false" ht="15" hidden="false" customHeight="false" outlineLevel="0" collapsed="false">
      <c r="A5" s="10" t="s">
        <v>106</v>
      </c>
      <c r="B5" s="10" t="s">
        <v>107</v>
      </c>
    </row>
    <row r="6" customFormat="false" ht="26.85" hidden="false" customHeight="false" outlineLevel="0" collapsed="false">
      <c r="A6" s="10" t="s">
        <v>59</v>
      </c>
      <c r="B6" s="10" t="s">
        <v>108</v>
      </c>
    </row>
    <row r="7" customFormat="false" ht="15" hidden="false" customHeight="false" outlineLevel="0" collapsed="false">
      <c r="A7" s="10" t="s">
        <v>109</v>
      </c>
      <c r="B7" s="10" t="s">
        <v>110</v>
      </c>
    </row>
    <row r="8" customFormat="false" ht="15" hidden="false" customHeight="false" outlineLevel="0" collapsed="false">
      <c r="A8" s="10" t="s">
        <v>111</v>
      </c>
      <c r="B8" s="10" t="s">
        <v>112</v>
      </c>
    </row>
    <row r="9" customFormat="false" ht="15" hidden="false" customHeight="false" outlineLevel="0" collapsed="false">
      <c r="A9" s="10" t="s">
        <v>113</v>
      </c>
      <c r="B9" s="10" t="s">
        <v>114</v>
      </c>
    </row>
    <row r="10" customFormat="false" ht="15" hidden="false" customHeight="false" outlineLevel="0" collapsed="false">
      <c r="A10" s="10" t="s">
        <v>115</v>
      </c>
      <c r="B10" s="10" t="s">
        <v>116</v>
      </c>
    </row>
    <row r="11" customFormat="false" ht="15" hidden="false" customHeight="false" outlineLevel="0" collapsed="false">
      <c r="A11" s="10" t="s">
        <v>117</v>
      </c>
      <c r="B11" s="10" t="s">
        <v>118</v>
      </c>
    </row>
    <row r="12" customFormat="false" ht="15" hidden="false" customHeight="false" outlineLevel="0" collapsed="false">
      <c r="A12" s="10" t="s">
        <v>119</v>
      </c>
      <c r="B12" s="10" t="s">
        <v>120</v>
      </c>
    </row>
    <row r="13" customFormat="false" ht="15" hidden="false" customHeight="false" outlineLevel="0" collapsed="false">
      <c r="A13" s="10" t="s">
        <v>121</v>
      </c>
      <c r="B13" s="10" t="s">
        <v>122</v>
      </c>
    </row>
    <row r="14" customFormat="false" ht="15" hidden="false" customHeight="false" outlineLevel="0" collapsed="false">
      <c r="A14" s="10" t="s">
        <v>123</v>
      </c>
      <c r="B14" s="10" t="s">
        <v>124</v>
      </c>
    </row>
    <row r="15" customFormat="false" ht="15" hidden="false" customHeight="false" outlineLevel="0" collapsed="false">
      <c r="A15" s="10" t="s">
        <v>86</v>
      </c>
      <c r="B15" s="10" t="s">
        <v>125</v>
      </c>
    </row>
    <row r="16" customFormat="false" ht="15" hidden="false" customHeight="false" outlineLevel="0" collapsed="false">
      <c r="A16" s="10" t="s">
        <v>126</v>
      </c>
      <c r="B16" s="10" t="s">
        <v>127</v>
      </c>
    </row>
    <row r="17" customFormat="false" ht="15" hidden="false" customHeight="false" outlineLevel="0" collapsed="false">
      <c r="A17" s="10" t="s">
        <v>128</v>
      </c>
      <c r="B17" s="10" t="s">
        <v>129</v>
      </c>
    </row>
    <row r="18" customFormat="false" ht="15" hidden="false" customHeight="false" outlineLevel="0" collapsed="false">
      <c r="A18" s="10" t="s">
        <v>130</v>
      </c>
      <c r="B18" s="10" t="s">
        <v>131</v>
      </c>
    </row>
    <row r="19" customFormat="false" ht="15" hidden="false" customHeight="false" outlineLevel="0" collapsed="false">
      <c r="A19" s="10" t="s">
        <v>132</v>
      </c>
      <c r="B19" s="10" t="s">
        <v>133</v>
      </c>
    </row>
    <row r="20" customFormat="false" ht="15" hidden="false" customHeight="false" outlineLevel="0" collapsed="false">
      <c r="A20" s="10" t="s">
        <v>134</v>
      </c>
      <c r="B20" s="10" t="s">
        <v>135</v>
      </c>
    </row>
    <row r="21" customFormat="false" ht="15" hidden="false" customHeight="false" outlineLevel="0" collapsed="false">
      <c r="A21" s="10" t="s">
        <v>136</v>
      </c>
      <c r="B21" s="1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</cols>
  <sheetData>
    <row r="1" customFormat="false" ht="17.35" hidden="false" customHeight="false" outlineLevel="0" collapsed="false">
      <c r="A1" s="1" t="s">
        <v>138</v>
      </c>
    </row>
    <row r="3" customFormat="false" ht="15" hidden="false" customHeight="false" outlineLevel="0" collapsed="false">
      <c r="A3" s="9" t="s">
        <v>139</v>
      </c>
      <c r="B3" s="9" t="s">
        <v>140</v>
      </c>
      <c r="C3" s="9" t="s">
        <v>141</v>
      </c>
    </row>
    <row r="4" customFormat="false" ht="26.85" hidden="false" customHeight="false" outlineLevel="0" collapsed="false">
      <c r="A4" s="10" t="s">
        <v>142</v>
      </c>
      <c r="B4" s="10" t="s">
        <v>143</v>
      </c>
      <c r="C4" s="10" t="s">
        <v>144</v>
      </c>
    </row>
    <row r="5" customFormat="false" ht="26.85" hidden="false" customHeight="false" outlineLevel="0" collapsed="false">
      <c r="A5" s="10" t="s">
        <v>145</v>
      </c>
      <c r="B5" s="10" t="s">
        <v>146</v>
      </c>
      <c r="C5" s="10" t="s">
        <v>147</v>
      </c>
    </row>
    <row r="6" customFormat="false" ht="26.85" hidden="false" customHeight="false" outlineLevel="0" collapsed="false">
      <c r="A6" s="10" t="s">
        <v>148</v>
      </c>
      <c r="B6" s="10" t="s">
        <v>149</v>
      </c>
      <c r="C6" s="10" t="s">
        <v>150</v>
      </c>
    </row>
    <row r="7" customFormat="false" ht="26.85" hidden="false" customHeight="false" outlineLevel="0" collapsed="false">
      <c r="A7" s="10" t="s">
        <v>151</v>
      </c>
      <c r="B7" s="10" t="s">
        <v>152</v>
      </c>
      <c r="C7" s="10" t="s">
        <v>153</v>
      </c>
    </row>
    <row r="8" customFormat="false" ht="15" hidden="false" customHeight="false" outlineLevel="0" collapsed="false">
      <c r="A8" s="10" t="s">
        <v>154</v>
      </c>
      <c r="B8" s="10" t="s">
        <v>155</v>
      </c>
      <c r="C8" s="10" t="s">
        <v>156</v>
      </c>
    </row>
    <row r="9" customFormat="false" ht="26.85" hidden="false" customHeight="false" outlineLevel="0" collapsed="false">
      <c r="A9" s="10" t="s">
        <v>157</v>
      </c>
      <c r="B9" s="10" t="s">
        <v>158</v>
      </c>
      <c r="C9" s="10" t="s">
        <v>159</v>
      </c>
    </row>
    <row r="10" customFormat="false" ht="15" hidden="false" customHeight="false" outlineLevel="0" collapsed="false">
      <c r="A10" s="10" t="s">
        <v>160</v>
      </c>
      <c r="B10" s="10" t="s">
        <v>161</v>
      </c>
      <c r="C10" s="10" t="s">
        <v>162</v>
      </c>
    </row>
    <row r="11" customFormat="false" ht="15" hidden="false" customHeight="false" outlineLevel="0" collapsed="false">
      <c r="A11" s="10" t="s">
        <v>163</v>
      </c>
      <c r="B11" s="10" t="s">
        <v>164</v>
      </c>
      <c r="C11" s="10" t="s">
        <v>165</v>
      </c>
    </row>
    <row r="12" customFormat="false" ht="15" hidden="false" customHeight="false" outlineLevel="0" collapsed="false">
      <c r="A12" s="10" t="s">
        <v>166</v>
      </c>
      <c r="B12" s="10" t="s">
        <v>167</v>
      </c>
      <c r="C12" s="10" t="s">
        <v>168</v>
      </c>
    </row>
    <row r="13" customFormat="false" ht="15" hidden="false" customHeight="false" outlineLevel="0" collapsed="false">
      <c r="A13" s="10" t="s">
        <v>169</v>
      </c>
      <c r="B13" s="10" t="s">
        <v>170</v>
      </c>
      <c r="C13" s="10" t="s">
        <v>171</v>
      </c>
    </row>
    <row r="14" customFormat="false" ht="15" hidden="false" customHeight="false" outlineLevel="0" collapsed="false">
      <c r="A14" s="10" t="s">
        <v>172</v>
      </c>
      <c r="B14" s="10" t="s">
        <v>173</v>
      </c>
      <c r="C14" s="10" t="s">
        <v>174</v>
      </c>
    </row>
    <row r="15" customFormat="false" ht="15" hidden="false" customHeight="false" outlineLevel="0" collapsed="false">
      <c r="A15" s="10" t="s">
        <v>175</v>
      </c>
      <c r="B15" s="10" t="s">
        <v>176</v>
      </c>
      <c r="C15" s="10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2026-10-18T21:31:31Z</dcterms:created>
  <dc:creator>openpyxl</dc:creator>
  <dc:description/>
  <dc:language>en-US</dc:language>
  <cp:lastModifiedBy/>
  <dcterms:modified xsi:type="dcterms:W3CDTF">2026-10-18T21:31:31Z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